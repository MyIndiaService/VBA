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QHUB\Desktop\Ravi_ VBA\"/>
    </mc:Choice>
  </mc:AlternateContent>
  <xr:revisionPtr revIDLastSave="0" documentId="13_ncr:1_{E9CEC016-5336-4EF6-A616-8D6FA623531F}" xr6:coauthVersionLast="36" xr6:coauthVersionMax="36" xr10:uidLastSave="{00000000-0000-0000-0000-000000000000}"/>
  <bookViews>
    <workbookView xWindow="0" yWindow="0" windowWidth="19200" windowHeight="11535" firstSheet="2" activeTab="7" xr2:uid="{7A8323FB-C22A-4ADB-AB37-3F39A2F83A63}"/>
  </bookViews>
  <sheets>
    <sheet name="teqhub" sheetId="1" r:id="rId1"/>
    <sheet name="Sheet4" sheetId="4" r:id="rId2"/>
    <sheet name="Sheet6" sheetId="9" r:id="rId3"/>
    <sheet name="2015" sheetId="5" r:id="rId4"/>
    <sheet name="2016" sheetId="6" r:id="rId5"/>
    <sheet name="2017" sheetId="7" r:id="rId6"/>
    <sheet name="Consol" sheetId="8" r:id="rId7"/>
    <sheet name="Sheet1" sheetId="10" r:id="rId8"/>
    <sheet name="28th july" sheetId="11" r:id="rId9"/>
  </sheets>
  <definedNames>
    <definedName name="ops">'28th july'!$E$11:$E$16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1" l="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A2" i="10" l="1"/>
  <c r="A3" i="10" s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G21" i="1" l="1"/>
  <c r="G22" i="1" s="1"/>
  <c r="B1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741D1D-053C-4BD4-99EF-56022EC9FF5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<sst xmlns="http://schemas.openxmlformats.org/spreadsheetml/2006/main" count="108" uniqueCount="54">
  <si>
    <t>Maths</t>
  </si>
  <si>
    <t>Science</t>
  </si>
  <si>
    <t>Social Science</t>
  </si>
  <si>
    <t>Total Marks</t>
  </si>
  <si>
    <t>Grade</t>
  </si>
  <si>
    <t>Percentage</t>
  </si>
  <si>
    <t>D Grade</t>
  </si>
  <si>
    <t>B Grade</t>
  </si>
  <si>
    <t>A Grade</t>
  </si>
  <si>
    <t>Name</t>
  </si>
  <si>
    <t>Gender</t>
  </si>
  <si>
    <t>Dis</t>
  </si>
  <si>
    <t>Payable fare</t>
  </si>
  <si>
    <t>Total fare</t>
  </si>
  <si>
    <t>Male</t>
  </si>
  <si>
    <t>Female</t>
  </si>
  <si>
    <t>Select Age Range</t>
  </si>
  <si>
    <t>Ravi Kumar</t>
  </si>
  <si>
    <t>Q1</t>
  </si>
  <si>
    <t>Q2</t>
  </si>
  <si>
    <t>Q3</t>
  </si>
  <si>
    <t>Q4</t>
  </si>
  <si>
    <t>123907;123906;123905;123904;123903;123902;123901;123900;123899;123898;123897;123896;123895;123894;123893;123892;123891;123890;123889;123888;123887;123886;123885;123884;123883;123882;123881;123880;123879;123878;123877;123876;123875;</t>
  </si>
  <si>
    <t>S.NO</t>
  </si>
  <si>
    <t>Department</t>
  </si>
  <si>
    <t>Designation</t>
  </si>
  <si>
    <t>CTC</t>
  </si>
  <si>
    <t>Fixed Salary</t>
  </si>
  <si>
    <t>Abinash Yadav</t>
  </si>
  <si>
    <t>Rupak Kumar</t>
  </si>
  <si>
    <t>Mohit Khera</t>
  </si>
  <si>
    <t>Shevali</t>
  </si>
  <si>
    <t>Sandeep Chabbra</t>
  </si>
  <si>
    <t>Mohit Gaur</t>
  </si>
  <si>
    <t>Sunil Malik</t>
  </si>
  <si>
    <t>Sunil kaushik</t>
  </si>
  <si>
    <t>Gaurav Madaan</t>
  </si>
  <si>
    <t>Neeraj Tiwari</t>
  </si>
  <si>
    <t>Amit Sharma</t>
  </si>
  <si>
    <t>Atul Gulia</t>
  </si>
  <si>
    <t>Sandeep Kumar</t>
  </si>
  <si>
    <t>Ravi Thakur</t>
  </si>
  <si>
    <t>Ankit Sharma</t>
  </si>
  <si>
    <t>Account management</t>
  </si>
  <si>
    <t>Operations</t>
  </si>
  <si>
    <t>Sales</t>
  </si>
  <si>
    <t>Manager</t>
  </si>
  <si>
    <t>Sr. Manager</t>
  </si>
  <si>
    <t>Director</t>
  </si>
  <si>
    <t>Head of Operations</t>
  </si>
  <si>
    <t>Sr. Executive</t>
  </si>
  <si>
    <t>Assistant Manager</t>
  </si>
  <si>
    <t>Executive</t>
  </si>
  <si>
    <t>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</si>
</sst>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7FFFD4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0F8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7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</cellXfs>
  <cellStyles count="1">
    <cellStyle name="Normal" xfId="0" builtinId="0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17</xdr:row>
          <xdr:rowOff>171450</xdr:rowOff>
        </xdr:from>
        <xdr:to>
          <xdr:col>1</xdr:col>
          <xdr:colOff>352425</xdr:colOff>
          <xdr:row>19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Amount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04C8D8-21DA-4A71-9F53-E38D618A7613}" name="Table1" displayName="Table1" ref="A1:G16" totalsRowShown="0" headerRowDxfId="1" dataDxfId="0" headerRowBorderDxfId="10" tableBorderDxfId="11" totalsRowBorderDxfId="9">
  <sortState ref="A2:G16">
    <sortCondition ref="A1:A16"/>
  </sortState>
  <tableColumns count="7">
    <tableColumn id="1" xr3:uid="{2F415AD9-25E2-4C1C-8D70-81418CB47744}" name="S.NO" dataDxfId="8"/>
    <tableColumn id="2" xr3:uid="{8A13B9E1-DAB8-4408-8A03-2F2602021E13}" name="Name" dataDxfId="7"/>
    <tableColumn id="3" xr3:uid="{14C9765D-9299-412C-A848-B09988A3D197}" name="Department" dataDxfId="6"/>
    <tableColumn id="4" xr3:uid="{4CF5E6F1-26BB-4982-94FA-32DF299D8B97}" name="Designation" dataDxfId="5"/>
    <tableColumn id="5" xr3:uid="{ADCF098F-7EB2-4BA0-AECA-424AFA58C404}" name="Fixed Salary" dataDxfId="4" dataCellStyle="Comma"/>
    <tableColumn id="6" xr3:uid="{EDDDBF79-FDE2-49C0-A247-5A56A5ECE9BA}" name="Variable" dataDxfId="3" dataCellStyle="Comma"/>
    <tableColumn id="7" xr3:uid="{0AD2A1A8-99FF-47FB-B836-EDB0380C641A}" name="CTC" dataDxfId="2" dataCellStyle="Comma">
      <calculatedColumnFormula>E2+F2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E1AF-9998-4ECD-AF7C-0F43278C822B}">
  <sheetPr codeName="Sheet1"/>
  <dimension ref="A1:K33"/>
  <sheetViews>
    <sheetView workbookViewId="0">
      <selection activeCell="E21" sqref="E21:E24"/>
    </sheetView>
  </sheetViews>
  <sheetFormatPr defaultRowHeight="15" x14ac:dyDescent="0.25"/>
  <cols>
    <col min="1" max="1" width="8.140625" bestFit="1" customWidth="1"/>
    <col min="2" max="2" width="12.7109375" customWidth="1"/>
    <col min="3" max="3" width="20.140625" customWidth="1"/>
    <col min="4" max="4" width="14.28515625" customWidth="1"/>
    <col min="5" max="5" width="11" bestFit="1" customWidth="1"/>
    <col min="6" max="6" width="13.42578125" bestFit="1" customWidth="1"/>
    <col min="7" max="7" width="11.5703125" customWidth="1"/>
    <col min="8" max="8" width="11" bestFit="1" customWidth="1"/>
    <col min="9" max="9" width="22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4</v>
      </c>
    </row>
    <row r="2" spans="1:6" x14ac:dyDescent="0.25">
      <c r="A2">
        <v>60</v>
      </c>
      <c r="B2">
        <v>68</v>
      </c>
      <c r="C2">
        <v>64</v>
      </c>
      <c r="D2">
        <v>307</v>
      </c>
      <c r="E2" s="1">
        <v>61.4</v>
      </c>
      <c r="F2" s="2" t="s">
        <v>7</v>
      </c>
    </row>
    <row r="3" spans="1:6" x14ac:dyDescent="0.25">
      <c r="A3">
        <v>89</v>
      </c>
      <c r="B3">
        <v>90</v>
      </c>
      <c r="C3">
        <v>75</v>
      </c>
      <c r="D3">
        <v>421</v>
      </c>
      <c r="E3" s="1">
        <v>84.2</v>
      </c>
      <c r="F3" s="3" t="s">
        <v>8</v>
      </c>
    </row>
    <row r="4" spans="1:6" x14ac:dyDescent="0.25">
      <c r="A4">
        <v>75</v>
      </c>
      <c r="B4">
        <v>90</v>
      </c>
      <c r="C4">
        <v>92</v>
      </c>
      <c r="D4">
        <v>427</v>
      </c>
      <c r="E4" s="1">
        <v>85.399999999999991</v>
      </c>
      <c r="F4" s="3" t="s">
        <v>8</v>
      </c>
    </row>
    <row r="5" spans="1:6" x14ac:dyDescent="0.25">
      <c r="A5">
        <v>35</v>
      </c>
      <c r="B5">
        <v>35</v>
      </c>
      <c r="C5">
        <v>35</v>
      </c>
      <c r="D5">
        <v>175</v>
      </c>
      <c r="E5" s="1">
        <v>35</v>
      </c>
      <c r="F5" s="4" t="s">
        <v>6</v>
      </c>
    </row>
    <row r="6" spans="1:6" x14ac:dyDescent="0.25">
      <c r="A6">
        <v>60</v>
      </c>
      <c r="B6">
        <v>60</v>
      </c>
      <c r="C6">
        <v>60</v>
      </c>
      <c r="D6">
        <v>300</v>
      </c>
      <c r="E6" s="1">
        <v>60</v>
      </c>
      <c r="F6" s="2" t="s">
        <v>7</v>
      </c>
    </row>
    <row r="10" spans="1:6" x14ac:dyDescent="0.25">
      <c r="B10">
        <f>SUM(A1:A4)</f>
        <v>224</v>
      </c>
    </row>
    <row r="11" spans="1:6" x14ac:dyDescent="0.25">
      <c r="B11">
        <v>676</v>
      </c>
    </row>
    <row r="14" spans="1:6" x14ac:dyDescent="0.25">
      <c r="B14">
        <v>676</v>
      </c>
    </row>
    <row r="18" spans="1:11" x14ac:dyDescent="0.25">
      <c r="C18" t="s">
        <v>9</v>
      </c>
      <c r="D18" t="s">
        <v>17</v>
      </c>
      <c r="J18" t="s">
        <v>14</v>
      </c>
    </row>
    <row r="19" spans="1:11" x14ac:dyDescent="0.25">
      <c r="C19" t="s">
        <v>10</v>
      </c>
      <c r="D19" t="s">
        <v>15</v>
      </c>
      <c r="J19" t="s">
        <v>15</v>
      </c>
      <c r="K19" s="6"/>
    </row>
    <row r="20" spans="1:11" x14ac:dyDescent="0.25">
      <c r="C20" t="s">
        <v>16</v>
      </c>
      <c r="D20">
        <v>65</v>
      </c>
    </row>
    <row r="21" spans="1:11" x14ac:dyDescent="0.25">
      <c r="C21" t="s">
        <v>13</v>
      </c>
      <c r="D21">
        <v>5000</v>
      </c>
      <c r="F21">
        <v>2500</v>
      </c>
      <c r="G21">
        <f>F21*0.1</f>
        <v>250</v>
      </c>
    </row>
    <row r="22" spans="1:11" x14ac:dyDescent="0.25">
      <c r="C22" t="s">
        <v>11</v>
      </c>
      <c r="D22">
        <v>250</v>
      </c>
      <c r="G22">
        <f>F21-G21</f>
        <v>2250</v>
      </c>
    </row>
    <row r="23" spans="1:11" x14ac:dyDescent="0.25">
      <c r="C23" t="s">
        <v>12</v>
      </c>
      <c r="D23">
        <v>2250</v>
      </c>
    </row>
    <row r="28" spans="1:11" x14ac:dyDescent="0.25">
      <c r="A28" t="s">
        <v>0</v>
      </c>
      <c r="B28" t="s">
        <v>1</v>
      </c>
      <c r="C28" t="s">
        <v>2</v>
      </c>
      <c r="D28" t="s">
        <v>3</v>
      </c>
      <c r="E28" t="s">
        <v>5</v>
      </c>
      <c r="F28" t="s">
        <v>4</v>
      </c>
    </row>
    <row r="29" spans="1:11" x14ac:dyDescent="0.25">
      <c r="A29">
        <v>60</v>
      </c>
      <c r="B29">
        <v>68</v>
      </c>
      <c r="C29">
        <v>64</v>
      </c>
      <c r="D29">
        <v>307</v>
      </c>
      <c r="E29" s="1">
        <v>61.4</v>
      </c>
      <c r="F29" s="2" t="s">
        <v>7</v>
      </c>
    </row>
    <row r="30" spans="1:11" x14ac:dyDescent="0.25">
      <c r="A30">
        <v>89</v>
      </c>
      <c r="B30">
        <v>90</v>
      </c>
      <c r="C30">
        <v>75</v>
      </c>
      <c r="D30">
        <v>421</v>
      </c>
      <c r="E30" s="1">
        <v>84.2</v>
      </c>
      <c r="F30" s="3" t="s">
        <v>8</v>
      </c>
    </row>
    <row r="31" spans="1:11" x14ac:dyDescent="0.25">
      <c r="A31">
        <v>75</v>
      </c>
      <c r="B31">
        <v>90</v>
      </c>
      <c r="C31">
        <v>92</v>
      </c>
      <c r="D31">
        <v>427</v>
      </c>
      <c r="E31" s="1">
        <v>85.399999999999991</v>
      </c>
      <c r="F31" s="3" t="s">
        <v>8</v>
      </c>
    </row>
    <row r="32" spans="1:11" x14ac:dyDescent="0.25">
      <c r="A32">
        <v>35</v>
      </c>
      <c r="B32">
        <v>35</v>
      </c>
      <c r="C32">
        <v>35</v>
      </c>
      <c r="D32">
        <v>175</v>
      </c>
      <c r="E32" s="1">
        <v>35</v>
      </c>
      <c r="F32" s="4" t="s">
        <v>6</v>
      </c>
    </row>
    <row r="33" spans="1:6" x14ac:dyDescent="0.25">
      <c r="A33">
        <v>60</v>
      </c>
      <c r="B33">
        <v>60</v>
      </c>
      <c r="C33">
        <v>60</v>
      </c>
      <c r="D33">
        <v>300</v>
      </c>
      <c r="E33" s="1">
        <v>60</v>
      </c>
      <c r="F33" s="2" t="s">
        <v>7</v>
      </c>
    </row>
  </sheetData>
  <dataValidations count="1">
    <dataValidation type="list" allowBlank="1" showInputMessage="1" showErrorMessage="1" sqref="D19" xr:uid="{7B324CB1-D697-47B4-9B1F-52183AA6FFD4}">
      <formula1>$J$18:$J$19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iscalc">
                <anchor moveWithCells="1" sizeWithCells="1">
                  <from>
                    <xdr:col>0</xdr:col>
                    <xdr:colOff>57150</xdr:colOff>
                    <xdr:row>17</xdr:row>
                    <xdr:rowOff>171450</xdr:rowOff>
                  </from>
                  <to>
                    <xdr:col>1</xdr:col>
                    <xdr:colOff>352425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7FE5D-9873-452A-988C-175C2B687C98}">
  <sheetPr codeName="Sheet4"/>
  <dimension ref="A1:F10"/>
  <sheetViews>
    <sheetView workbookViewId="0">
      <selection activeCell="A4" sqref="A4:F9"/>
    </sheetView>
  </sheetViews>
  <sheetFormatPr defaultRowHeight="15" x14ac:dyDescent="0.25"/>
  <sheetData>
    <row r="1" spans="1:6" x14ac:dyDescent="0.25">
      <c r="A1" s="5">
        <v>2</v>
      </c>
      <c r="B1" s="5">
        <v>2</v>
      </c>
    </row>
    <row r="2" spans="1:6" x14ac:dyDescent="0.25">
      <c r="A2">
        <v>4</v>
      </c>
      <c r="B2">
        <v>3</v>
      </c>
    </row>
    <row r="3" spans="1:6" x14ac:dyDescent="0.25">
      <c r="A3" s="2">
        <v>6</v>
      </c>
      <c r="B3">
        <v>5</v>
      </c>
    </row>
    <row r="4" spans="1:6" x14ac:dyDescent="0.25">
      <c r="A4" t="s">
        <v>0</v>
      </c>
      <c r="B4" t="s">
        <v>1</v>
      </c>
      <c r="C4" t="s">
        <v>2</v>
      </c>
      <c r="D4" t="s">
        <v>3</v>
      </c>
      <c r="E4" t="s">
        <v>5</v>
      </c>
      <c r="F4" t="s">
        <v>4</v>
      </c>
    </row>
    <row r="5" spans="1:6" x14ac:dyDescent="0.25">
      <c r="A5">
        <v>60</v>
      </c>
      <c r="B5">
        <v>68</v>
      </c>
      <c r="C5">
        <v>64</v>
      </c>
      <c r="D5">
        <v>307</v>
      </c>
      <c r="E5" s="1">
        <v>61.4</v>
      </c>
      <c r="F5" s="2" t="s">
        <v>7</v>
      </c>
    </row>
    <row r="6" spans="1:6" x14ac:dyDescent="0.25">
      <c r="A6">
        <v>89</v>
      </c>
      <c r="B6">
        <v>90</v>
      </c>
      <c r="C6">
        <v>75</v>
      </c>
      <c r="D6">
        <v>421</v>
      </c>
      <c r="E6" s="1">
        <v>84.2</v>
      </c>
      <c r="F6" s="3" t="s">
        <v>8</v>
      </c>
    </row>
    <row r="7" spans="1:6" x14ac:dyDescent="0.25">
      <c r="A7">
        <v>75</v>
      </c>
      <c r="B7">
        <v>90</v>
      </c>
      <c r="C7">
        <v>92</v>
      </c>
      <c r="D7">
        <v>427</v>
      </c>
      <c r="E7" s="1">
        <v>85.399999999999991</v>
      </c>
      <c r="F7" s="3" t="s">
        <v>8</v>
      </c>
    </row>
    <row r="8" spans="1:6" x14ac:dyDescent="0.25">
      <c r="A8">
        <v>35</v>
      </c>
      <c r="B8">
        <v>35</v>
      </c>
      <c r="C8">
        <v>35</v>
      </c>
      <c r="D8">
        <v>175</v>
      </c>
      <c r="E8" s="1">
        <v>35</v>
      </c>
      <c r="F8" s="4" t="s">
        <v>6</v>
      </c>
    </row>
    <row r="9" spans="1:6" x14ac:dyDescent="0.25">
      <c r="A9">
        <v>60</v>
      </c>
      <c r="B9">
        <v>60</v>
      </c>
      <c r="C9">
        <v>60</v>
      </c>
      <c r="D9">
        <v>300</v>
      </c>
      <c r="E9" s="1">
        <v>60</v>
      </c>
      <c r="F9" s="2" t="s">
        <v>7</v>
      </c>
    </row>
    <row r="10" spans="1:6" x14ac:dyDescent="0.25">
      <c r="B10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8B874-744F-4B1A-B97F-E3BE9F9EE106}">
  <sheetPr codeName="Sheet7"/>
  <dimension ref="A1:F4"/>
  <sheetViews>
    <sheetView workbookViewId="0">
      <selection activeCell="H9" sqref="H9"/>
    </sheetView>
  </sheetViews>
  <sheetFormatPr defaultRowHeight="15" x14ac:dyDescent="0.25"/>
  <sheetData>
    <row r="1" spans="1:6" x14ac:dyDescent="0.25">
      <c r="A1">
        <v>5</v>
      </c>
      <c r="B1">
        <v>10</v>
      </c>
      <c r="C1">
        <v>50</v>
      </c>
      <c r="D1">
        <v>258</v>
      </c>
      <c r="E1">
        <v>42</v>
      </c>
      <c r="F1">
        <v>458</v>
      </c>
    </row>
    <row r="2" spans="1:6" x14ac:dyDescent="0.25">
      <c r="A2">
        <v>42</v>
      </c>
      <c r="B2">
        <v>100</v>
      </c>
      <c r="C2">
        <v>25</v>
      </c>
      <c r="D2">
        <v>777777</v>
      </c>
      <c r="E2">
        <v>45888</v>
      </c>
      <c r="F2">
        <v>455</v>
      </c>
    </row>
    <row r="3" spans="1:6" x14ac:dyDescent="0.25">
      <c r="A3">
        <v>25</v>
      </c>
      <c r="B3">
        <v>125</v>
      </c>
      <c r="C3">
        <v>15</v>
      </c>
      <c r="D3">
        <v>54</v>
      </c>
      <c r="E3">
        <v>2</v>
      </c>
      <c r="F3">
        <v>4</v>
      </c>
    </row>
    <row r="4" spans="1:6" x14ac:dyDescent="0.25">
      <c r="A4">
        <v>556</v>
      </c>
      <c r="B4">
        <v>665</v>
      </c>
      <c r="C4">
        <v>556</v>
      </c>
      <c r="D4">
        <v>556</v>
      </c>
      <c r="E4">
        <v>55555</v>
      </c>
      <c r="F4">
        <v>455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DB2E-B350-4D88-BC6C-99E30C67B308}">
  <sheetPr codeName="Sheet2"/>
  <dimension ref="A1:D12"/>
  <sheetViews>
    <sheetView workbookViewId="0">
      <selection activeCell="H11" sqref="H11:L26"/>
    </sheetView>
  </sheetViews>
  <sheetFormatPr defaultRowHeight="15" x14ac:dyDescent="0.25"/>
  <sheetData>
    <row r="1" spans="1:4" x14ac:dyDescent="0.25">
      <c r="A1" t="s">
        <v>18</v>
      </c>
      <c r="B1" t="s">
        <v>19</v>
      </c>
      <c r="C1" t="s">
        <v>20</v>
      </c>
      <c r="D1" t="s">
        <v>21</v>
      </c>
    </row>
    <row r="2" spans="1:4" x14ac:dyDescent="0.25">
      <c r="A2">
        <v>20</v>
      </c>
      <c r="B2">
        <v>100</v>
      </c>
      <c r="C2">
        <v>50</v>
      </c>
      <c r="D2">
        <v>100</v>
      </c>
    </row>
    <row r="3" spans="1:4" x14ac:dyDescent="0.25">
      <c r="A3">
        <v>20</v>
      </c>
      <c r="B3">
        <v>100</v>
      </c>
      <c r="C3">
        <v>50</v>
      </c>
      <c r="D3">
        <v>100</v>
      </c>
    </row>
    <row r="4" spans="1:4" x14ac:dyDescent="0.25">
      <c r="A4">
        <v>20</v>
      </c>
      <c r="B4">
        <v>100</v>
      </c>
      <c r="C4">
        <v>50</v>
      </c>
      <c r="D4">
        <v>100</v>
      </c>
    </row>
    <row r="5" spans="1:4" x14ac:dyDescent="0.25">
      <c r="A5">
        <v>20</v>
      </c>
      <c r="B5">
        <v>100</v>
      </c>
      <c r="C5">
        <v>50</v>
      </c>
      <c r="D5">
        <v>100</v>
      </c>
    </row>
    <row r="6" spans="1:4" x14ac:dyDescent="0.25">
      <c r="A6">
        <v>20</v>
      </c>
      <c r="B6">
        <v>100</v>
      </c>
      <c r="C6">
        <v>50</v>
      </c>
      <c r="D6">
        <v>100</v>
      </c>
    </row>
    <row r="7" spans="1:4" x14ac:dyDescent="0.25">
      <c r="A7">
        <v>20</v>
      </c>
      <c r="B7">
        <v>100</v>
      </c>
      <c r="C7">
        <v>50</v>
      </c>
      <c r="D7">
        <v>100</v>
      </c>
    </row>
    <row r="8" spans="1:4" x14ac:dyDescent="0.25">
      <c r="A8">
        <v>20</v>
      </c>
      <c r="B8">
        <v>100</v>
      </c>
      <c r="C8">
        <v>50</v>
      </c>
      <c r="D8">
        <v>100</v>
      </c>
    </row>
    <row r="9" spans="1:4" x14ac:dyDescent="0.25">
      <c r="A9">
        <v>20</v>
      </c>
      <c r="B9">
        <v>100</v>
      </c>
      <c r="C9">
        <v>50</v>
      </c>
      <c r="D9">
        <v>100</v>
      </c>
    </row>
    <row r="10" spans="1:4" x14ac:dyDescent="0.25">
      <c r="A10">
        <v>20</v>
      </c>
      <c r="B10">
        <v>100</v>
      </c>
      <c r="C10">
        <v>50</v>
      </c>
      <c r="D10">
        <v>100</v>
      </c>
    </row>
    <row r="11" spans="1:4" x14ac:dyDescent="0.25">
      <c r="A11">
        <v>20</v>
      </c>
      <c r="B11">
        <v>100</v>
      </c>
      <c r="C11">
        <v>50</v>
      </c>
      <c r="D11">
        <v>100</v>
      </c>
    </row>
    <row r="12" spans="1:4" x14ac:dyDescent="0.25">
      <c r="A12">
        <v>20</v>
      </c>
      <c r="B12">
        <v>100</v>
      </c>
      <c r="C12">
        <v>50</v>
      </c>
      <c r="D12">
        <v>100</v>
      </c>
    </row>
  </sheetData>
  <dataConsolidate topLabels="1">
    <dataRefs count="3">
      <dataRef ref="A1:D12" sheet="2015"/>
      <dataRef ref="A1:D12" sheet="2016"/>
      <dataRef ref="A1:D12" sheet="2017"/>
    </dataRefs>
  </dataConsolid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4F3B7-9E0F-4916-BADD-38CEA2357E9B}">
  <sheetPr codeName="Sheet3"/>
  <dimension ref="A1:D12"/>
  <sheetViews>
    <sheetView workbookViewId="0">
      <selection activeCell="A2" sqref="A2:D12"/>
    </sheetView>
  </sheetViews>
  <sheetFormatPr defaultRowHeight="15" x14ac:dyDescent="0.25"/>
  <sheetData>
    <row r="1" spans="1:4" x14ac:dyDescent="0.25">
      <c r="A1" t="s">
        <v>18</v>
      </c>
      <c r="B1" t="s">
        <v>19</v>
      </c>
      <c r="C1" t="s">
        <v>20</v>
      </c>
      <c r="D1" t="s">
        <v>21</v>
      </c>
    </row>
    <row r="2" spans="1:4" x14ac:dyDescent="0.25">
      <c r="A2">
        <v>500</v>
      </c>
      <c r="B2">
        <v>120</v>
      </c>
      <c r="C2">
        <v>500</v>
      </c>
      <c r="D2">
        <v>600</v>
      </c>
    </row>
    <row r="3" spans="1:4" x14ac:dyDescent="0.25">
      <c r="A3">
        <v>500</v>
      </c>
      <c r="B3">
        <v>120</v>
      </c>
      <c r="C3">
        <v>500</v>
      </c>
      <c r="D3">
        <v>600</v>
      </c>
    </row>
    <row r="4" spans="1:4" x14ac:dyDescent="0.25">
      <c r="A4">
        <v>500</v>
      </c>
      <c r="B4">
        <v>120</v>
      </c>
      <c r="C4">
        <v>500</v>
      </c>
      <c r="D4">
        <v>600</v>
      </c>
    </row>
    <row r="5" spans="1:4" x14ac:dyDescent="0.25">
      <c r="A5">
        <v>500</v>
      </c>
      <c r="B5">
        <v>120</v>
      </c>
      <c r="C5">
        <v>500</v>
      </c>
      <c r="D5">
        <v>600</v>
      </c>
    </row>
    <row r="6" spans="1:4" x14ac:dyDescent="0.25">
      <c r="A6">
        <v>500</v>
      </c>
      <c r="B6">
        <v>120</v>
      </c>
      <c r="C6">
        <v>500</v>
      </c>
      <c r="D6">
        <v>600</v>
      </c>
    </row>
    <row r="7" spans="1:4" x14ac:dyDescent="0.25">
      <c r="A7">
        <v>500</v>
      </c>
      <c r="B7">
        <v>120</v>
      </c>
      <c r="C7">
        <v>500</v>
      </c>
      <c r="D7">
        <v>600</v>
      </c>
    </row>
    <row r="8" spans="1:4" x14ac:dyDescent="0.25">
      <c r="A8">
        <v>500</v>
      </c>
      <c r="B8">
        <v>120</v>
      </c>
      <c r="C8">
        <v>500</v>
      </c>
      <c r="D8">
        <v>600</v>
      </c>
    </row>
    <row r="9" spans="1:4" x14ac:dyDescent="0.25">
      <c r="A9">
        <v>500</v>
      </c>
      <c r="B9">
        <v>120</v>
      </c>
      <c r="C9">
        <v>500</v>
      </c>
      <c r="D9">
        <v>600</v>
      </c>
    </row>
    <row r="10" spans="1:4" x14ac:dyDescent="0.25">
      <c r="A10">
        <v>500</v>
      </c>
      <c r="B10">
        <v>120</v>
      </c>
      <c r="C10">
        <v>500</v>
      </c>
      <c r="D10">
        <v>600</v>
      </c>
    </row>
    <row r="11" spans="1:4" x14ac:dyDescent="0.25">
      <c r="A11">
        <v>500</v>
      </c>
      <c r="B11">
        <v>120</v>
      </c>
      <c r="C11">
        <v>500</v>
      </c>
      <c r="D11">
        <v>600</v>
      </c>
    </row>
    <row r="12" spans="1:4" x14ac:dyDescent="0.25">
      <c r="A12">
        <v>500</v>
      </c>
      <c r="B12">
        <v>120</v>
      </c>
      <c r="C12">
        <v>500</v>
      </c>
      <c r="D12">
        <v>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7F33D-94DC-4D66-A29F-19DEF28C7990}">
  <sheetPr codeName="Sheet5"/>
  <dimension ref="A1:D12"/>
  <sheetViews>
    <sheetView workbookViewId="0">
      <selection activeCell="F33" sqref="F33"/>
    </sheetView>
  </sheetViews>
  <sheetFormatPr defaultRowHeight="15" x14ac:dyDescent="0.25"/>
  <sheetData>
    <row r="1" spans="1:4" x14ac:dyDescent="0.25">
      <c r="A1" t="s">
        <v>18</v>
      </c>
      <c r="B1" t="s">
        <v>19</v>
      </c>
      <c r="C1" t="s">
        <v>20</v>
      </c>
      <c r="D1" t="s">
        <v>21</v>
      </c>
    </row>
    <row r="2" spans="1:4" x14ac:dyDescent="0.25">
      <c r="A2">
        <v>200</v>
      </c>
      <c r="B2">
        <v>500</v>
      </c>
      <c r="C2">
        <v>400</v>
      </c>
      <c r="D2">
        <v>800</v>
      </c>
    </row>
    <row r="3" spans="1:4" x14ac:dyDescent="0.25">
      <c r="A3">
        <v>200</v>
      </c>
      <c r="B3">
        <v>500</v>
      </c>
      <c r="C3">
        <v>400</v>
      </c>
      <c r="D3">
        <v>800</v>
      </c>
    </row>
    <row r="4" spans="1:4" x14ac:dyDescent="0.25">
      <c r="A4">
        <v>200</v>
      </c>
      <c r="B4">
        <v>500</v>
      </c>
      <c r="C4">
        <v>400</v>
      </c>
      <c r="D4">
        <v>800</v>
      </c>
    </row>
    <row r="5" spans="1:4" x14ac:dyDescent="0.25">
      <c r="A5">
        <v>200</v>
      </c>
      <c r="B5">
        <v>500</v>
      </c>
      <c r="C5">
        <v>400</v>
      </c>
      <c r="D5">
        <v>800</v>
      </c>
    </row>
    <row r="6" spans="1:4" x14ac:dyDescent="0.25">
      <c r="A6">
        <v>200</v>
      </c>
      <c r="B6">
        <v>500</v>
      </c>
      <c r="C6">
        <v>400</v>
      </c>
      <c r="D6">
        <v>800</v>
      </c>
    </row>
    <row r="7" spans="1:4" x14ac:dyDescent="0.25">
      <c r="A7">
        <v>200</v>
      </c>
      <c r="B7">
        <v>500</v>
      </c>
      <c r="C7">
        <v>400</v>
      </c>
      <c r="D7">
        <v>800</v>
      </c>
    </row>
    <row r="8" spans="1:4" x14ac:dyDescent="0.25">
      <c r="A8">
        <v>200</v>
      </c>
      <c r="B8">
        <v>500</v>
      </c>
      <c r="C8">
        <v>400</v>
      </c>
      <c r="D8">
        <v>800</v>
      </c>
    </row>
    <row r="9" spans="1:4" x14ac:dyDescent="0.25">
      <c r="A9">
        <v>200</v>
      </c>
      <c r="B9">
        <v>500</v>
      </c>
      <c r="C9">
        <v>400</v>
      </c>
      <c r="D9">
        <v>800</v>
      </c>
    </row>
    <row r="10" spans="1:4" x14ac:dyDescent="0.25">
      <c r="A10">
        <v>200</v>
      </c>
      <c r="B10">
        <v>500</v>
      </c>
      <c r="C10">
        <v>400</v>
      </c>
      <c r="D10">
        <v>800</v>
      </c>
    </row>
    <row r="11" spans="1:4" x14ac:dyDescent="0.25">
      <c r="A11">
        <v>200</v>
      </c>
      <c r="B11">
        <v>500</v>
      </c>
      <c r="C11">
        <v>400</v>
      </c>
      <c r="D11">
        <v>800</v>
      </c>
    </row>
    <row r="12" spans="1:4" x14ac:dyDescent="0.25">
      <c r="A12">
        <v>200</v>
      </c>
      <c r="B12">
        <v>500</v>
      </c>
      <c r="C12">
        <v>400</v>
      </c>
      <c r="D12">
        <v>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8C30-4474-4E83-B33F-F7FE1AE5E902}">
  <sheetPr codeName="Sheet6"/>
  <dimension ref="A1"/>
  <sheetViews>
    <sheetView workbookViewId="0">
      <selection activeCell="C8" sqref="C8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4BF-7DF3-4E4B-9378-6320B8D7DCB9}">
  <sheetPr codeName="Sheet8"/>
  <dimension ref="A1:S20"/>
  <sheetViews>
    <sheetView tabSelected="1" workbookViewId="0">
      <selection activeCell="A21" sqref="A21"/>
    </sheetView>
  </sheetViews>
  <sheetFormatPr defaultColWidth="9.5703125" defaultRowHeight="15" x14ac:dyDescent="0.25"/>
  <sheetData>
    <row r="1" spans="1:2" x14ac:dyDescent="0.25">
      <c r="A1">
        <v>123875</v>
      </c>
      <c r="B1" t="s">
        <v>22</v>
      </c>
    </row>
    <row r="2" spans="1:2" x14ac:dyDescent="0.25">
      <c r="A2">
        <f>A1+1</f>
        <v>123876</v>
      </c>
    </row>
    <row r="3" spans="1:2" x14ac:dyDescent="0.25">
      <c r="A3">
        <f t="shared" ref="A3:A20" si="0">A2+1</f>
        <v>123877</v>
      </c>
    </row>
    <row r="4" spans="1:2" x14ac:dyDescent="0.25">
      <c r="A4">
        <f t="shared" si="0"/>
        <v>123878</v>
      </c>
    </row>
    <row r="5" spans="1:2" x14ac:dyDescent="0.25">
      <c r="A5">
        <f t="shared" si="0"/>
        <v>123879</v>
      </c>
    </row>
    <row r="6" spans="1:2" x14ac:dyDescent="0.25">
      <c r="A6">
        <f t="shared" si="0"/>
        <v>123880</v>
      </c>
    </row>
    <row r="7" spans="1:2" x14ac:dyDescent="0.25">
      <c r="A7">
        <f t="shared" si="0"/>
        <v>123881</v>
      </c>
    </row>
    <row r="8" spans="1:2" x14ac:dyDescent="0.25">
      <c r="A8">
        <f t="shared" si="0"/>
        <v>123882</v>
      </c>
    </row>
    <row r="9" spans="1:2" x14ac:dyDescent="0.25">
      <c r="A9">
        <f t="shared" si="0"/>
        <v>123883</v>
      </c>
    </row>
    <row r="10" spans="1:2" x14ac:dyDescent="0.25">
      <c r="A10">
        <f t="shared" si="0"/>
        <v>123884</v>
      </c>
    </row>
    <row r="11" spans="1:2" x14ac:dyDescent="0.25">
      <c r="A11">
        <f t="shared" si="0"/>
        <v>123885</v>
      </c>
    </row>
    <row r="12" spans="1:2" x14ac:dyDescent="0.25">
      <c r="A12">
        <f t="shared" si="0"/>
        <v>123886</v>
      </c>
    </row>
    <row r="13" spans="1:2" x14ac:dyDescent="0.25">
      <c r="A13">
        <f t="shared" si="0"/>
        <v>123887</v>
      </c>
    </row>
    <row r="14" spans="1:2" x14ac:dyDescent="0.25">
      <c r="A14">
        <f t="shared" si="0"/>
        <v>123888</v>
      </c>
    </row>
    <row r="15" spans="1:2" x14ac:dyDescent="0.25">
      <c r="A15">
        <f t="shared" si="0"/>
        <v>123889</v>
      </c>
    </row>
    <row r="16" spans="1:2" x14ac:dyDescent="0.25">
      <c r="A16">
        <f t="shared" si="0"/>
        <v>123890</v>
      </c>
    </row>
    <row r="17" spans="1:19" x14ac:dyDescent="0.25">
      <c r="A17">
        <f t="shared" si="0"/>
        <v>123891</v>
      </c>
    </row>
    <row r="18" spans="1:19" x14ac:dyDescent="0.25">
      <c r="A18">
        <f t="shared" si="0"/>
        <v>123892</v>
      </c>
    </row>
    <row r="19" spans="1:19" x14ac:dyDescent="0.25">
      <c r="A19">
        <f t="shared" si="0"/>
        <v>123893</v>
      </c>
    </row>
    <row r="20" spans="1:19" x14ac:dyDescent="0.25">
      <c r="A20">
        <v>123875</v>
      </c>
      <c r="B20">
        <v>123876</v>
      </c>
      <c r="C20">
        <v>123877</v>
      </c>
      <c r="D20">
        <v>123878</v>
      </c>
      <c r="E20">
        <v>123879</v>
      </c>
      <c r="F20">
        <v>123880</v>
      </c>
      <c r="G20">
        <v>123881</v>
      </c>
      <c r="H20">
        <v>123882</v>
      </c>
      <c r="I20">
        <v>123883</v>
      </c>
      <c r="J20">
        <v>123884</v>
      </c>
      <c r="K20">
        <v>123885</v>
      </c>
      <c r="L20">
        <v>123886</v>
      </c>
      <c r="M20">
        <v>123887</v>
      </c>
      <c r="N20">
        <v>123888</v>
      </c>
      <c r="O20">
        <v>123889</v>
      </c>
      <c r="P20">
        <v>123890</v>
      </c>
      <c r="Q20">
        <v>123891</v>
      </c>
      <c r="R20">
        <v>123892</v>
      </c>
      <c r="S20">
        <v>123893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A36F3-8673-4AA9-BC4B-CF2FAA2FA29B}">
  <sheetPr codeName="Sheet9"/>
  <dimension ref="A1:G16"/>
  <sheetViews>
    <sheetView workbookViewId="0">
      <selection activeCell="D25" sqref="D25:D26"/>
    </sheetView>
  </sheetViews>
  <sheetFormatPr defaultRowHeight="15" x14ac:dyDescent="0.25"/>
  <cols>
    <col min="1" max="1" width="7.5703125" customWidth="1"/>
    <col min="2" max="2" width="16.5703125" bestFit="1" customWidth="1"/>
    <col min="3" max="3" width="20.5703125" bestFit="1" customWidth="1"/>
    <col min="4" max="4" width="23.7109375" customWidth="1"/>
    <col min="5" max="5" width="13.7109375" customWidth="1"/>
    <col min="6" max="6" width="16.28515625" customWidth="1"/>
    <col min="7" max="7" width="22" customWidth="1"/>
  </cols>
  <sheetData>
    <row r="1" spans="1:7" x14ac:dyDescent="0.25">
      <c r="A1" s="7" t="s">
        <v>23</v>
      </c>
      <c r="B1" s="7" t="s">
        <v>9</v>
      </c>
      <c r="C1" s="7" t="s">
        <v>24</v>
      </c>
      <c r="D1" s="7" t="s">
        <v>25</v>
      </c>
      <c r="E1" s="7" t="s">
        <v>27</v>
      </c>
      <c r="F1" s="7" t="s">
        <v>53</v>
      </c>
      <c r="G1" s="7" t="s">
        <v>26</v>
      </c>
    </row>
    <row r="2" spans="1:7" x14ac:dyDescent="0.25">
      <c r="A2" s="7">
        <v>1</v>
      </c>
      <c r="B2" s="7" t="s">
        <v>28</v>
      </c>
      <c r="C2" s="7" t="s">
        <v>43</v>
      </c>
      <c r="D2" s="7" t="s">
        <v>46</v>
      </c>
      <c r="E2" s="9">
        <v>750000</v>
      </c>
      <c r="F2" s="9">
        <v>60000</v>
      </c>
      <c r="G2" s="9">
        <f>E2+F2</f>
        <v>810000</v>
      </c>
    </row>
    <row r="3" spans="1:7" x14ac:dyDescent="0.25">
      <c r="A3" s="8">
        <v>2</v>
      </c>
      <c r="B3" s="7" t="s">
        <v>29</v>
      </c>
      <c r="C3" s="7" t="s">
        <v>44</v>
      </c>
      <c r="D3" s="7" t="s">
        <v>47</v>
      </c>
      <c r="E3" s="9">
        <v>1050000</v>
      </c>
      <c r="F3" s="9">
        <v>100000</v>
      </c>
      <c r="G3" s="9">
        <f>E3+F3</f>
        <v>1150000</v>
      </c>
    </row>
    <row r="4" spans="1:7" x14ac:dyDescent="0.25">
      <c r="A4" s="8">
        <v>3</v>
      </c>
      <c r="B4" s="7" t="s">
        <v>30</v>
      </c>
      <c r="C4" s="7" t="s">
        <v>45</v>
      </c>
      <c r="D4" s="7" t="s">
        <v>48</v>
      </c>
      <c r="E4" s="9">
        <v>2000000</v>
      </c>
      <c r="F4" s="9">
        <v>100000</v>
      </c>
      <c r="G4" s="9">
        <f>E4+F4</f>
        <v>2100000</v>
      </c>
    </row>
    <row r="5" spans="1:7" x14ac:dyDescent="0.25">
      <c r="A5" s="8">
        <v>4</v>
      </c>
      <c r="B5" s="7" t="s">
        <v>31</v>
      </c>
      <c r="C5" s="7" t="s">
        <v>43</v>
      </c>
      <c r="D5" s="7" t="s">
        <v>46</v>
      </c>
      <c r="E5" s="9">
        <v>950000</v>
      </c>
      <c r="F5" s="9">
        <v>60000</v>
      </c>
      <c r="G5" s="9">
        <f>E5+F5</f>
        <v>1010000</v>
      </c>
    </row>
    <row r="6" spans="1:7" x14ac:dyDescent="0.25">
      <c r="A6" s="8">
        <v>5</v>
      </c>
      <c r="B6" s="7" t="s">
        <v>32</v>
      </c>
      <c r="C6" s="7" t="s">
        <v>45</v>
      </c>
      <c r="D6" s="7" t="s">
        <v>46</v>
      </c>
      <c r="E6" s="9">
        <v>1700000</v>
      </c>
      <c r="F6" s="9">
        <v>100000</v>
      </c>
      <c r="G6" s="9">
        <f>E6+F6</f>
        <v>1800000</v>
      </c>
    </row>
    <row r="7" spans="1:7" x14ac:dyDescent="0.25">
      <c r="A7" s="8">
        <v>6</v>
      </c>
      <c r="B7" s="7" t="s">
        <v>33</v>
      </c>
      <c r="C7" s="7" t="s">
        <v>45</v>
      </c>
      <c r="D7" s="7" t="s">
        <v>46</v>
      </c>
      <c r="E7" s="9">
        <v>1500000</v>
      </c>
      <c r="F7" s="9">
        <v>100000</v>
      </c>
      <c r="G7" s="9">
        <f>E7+F7</f>
        <v>1600000</v>
      </c>
    </row>
    <row r="8" spans="1:7" x14ac:dyDescent="0.25">
      <c r="A8" s="8">
        <v>7</v>
      </c>
      <c r="B8" s="7" t="s">
        <v>34</v>
      </c>
      <c r="C8" s="7" t="s">
        <v>44</v>
      </c>
      <c r="D8" s="7" t="s">
        <v>49</v>
      </c>
      <c r="E8" s="9">
        <v>3000000</v>
      </c>
      <c r="F8" s="9">
        <v>200000</v>
      </c>
      <c r="G8" s="9">
        <f>E8+F8</f>
        <v>3200000</v>
      </c>
    </row>
    <row r="9" spans="1:7" x14ac:dyDescent="0.25">
      <c r="A9" s="8">
        <v>8</v>
      </c>
      <c r="B9" s="7" t="s">
        <v>35</v>
      </c>
      <c r="C9" s="7" t="s">
        <v>43</v>
      </c>
      <c r="D9" s="7" t="s">
        <v>50</v>
      </c>
      <c r="E9" s="9">
        <v>700000</v>
      </c>
      <c r="F9" s="9">
        <v>50000</v>
      </c>
      <c r="G9" s="9">
        <f>E9+F9</f>
        <v>750000</v>
      </c>
    </row>
    <row r="10" spans="1:7" x14ac:dyDescent="0.25">
      <c r="A10" s="8">
        <v>9</v>
      </c>
      <c r="B10" s="7" t="s">
        <v>36</v>
      </c>
      <c r="C10" s="7" t="s">
        <v>43</v>
      </c>
      <c r="D10" s="7" t="s">
        <v>50</v>
      </c>
      <c r="E10" s="9">
        <v>550000</v>
      </c>
      <c r="F10" s="9">
        <v>50000</v>
      </c>
      <c r="G10" s="9">
        <f>E10+F10</f>
        <v>600000</v>
      </c>
    </row>
    <row r="11" spans="1:7" x14ac:dyDescent="0.25">
      <c r="A11" s="8">
        <v>10</v>
      </c>
      <c r="B11" s="7" t="s">
        <v>37</v>
      </c>
      <c r="C11" s="7" t="s">
        <v>44</v>
      </c>
      <c r="D11" s="7" t="s">
        <v>46</v>
      </c>
      <c r="E11" s="9">
        <v>1000000</v>
      </c>
      <c r="F11" s="9">
        <v>60000</v>
      </c>
      <c r="G11" s="9">
        <f>E11+F11</f>
        <v>1060000</v>
      </c>
    </row>
    <row r="12" spans="1:7" x14ac:dyDescent="0.25">
      <c r="A12" s="8">
        <v>11</v>
      </c>
      <c r="B12" s="7" t="s">
        <v>38</v>
      </c>
      <c r="C12" s="7" t="s">
        <v>44</v>
      </c>
      <c r="D12" s="7" t="s">
        <v>50</v>
      </c>
      <c r="E12" s="9">
        <v>500000</v>
      </c>
      <c r="F12" s="9">
        <v>40000</v>
      </c>
      <c r="G12" s="9">
        <f>E12+F12</f>
        <v>540000</v>
      </c>
    </row>
    <row r="13" spans="1:7" x14ac:dyDescent="0.25">
      <c r="A13" s="8">
        <v>12</v>
      </c>
      <c r="B13" s="7" t="s">
        <v>39</v>
      </c>
      <c r="C13" s="7" t="s">
        <v>44</v>
      </c>
      <c r="D13" s="7" t="s">
        <v>51</v>
      </c>
      <c r="E13" s="9">
        <v>600000</v>
      </c>
      <c r="F13" s="9">
        <v>50000</v>
      </c>
      <c r="G13" s="9">
        <f>E13+F13</f>
        <v>650000</v>
      </c>
    </row>
    <row r="14" spans="1:7" x14ac:dyDescent="0.25">
      <c r="A14" s="8">
        <v>13</v>
      </c>
      <c r="B14" s="7" t="s">
        <v>40</v>
      </c>
      <c r="C14" s="7" t="s">
        <v>44</v>
      </c>
      <c r="D14" s="7" t="s">
        <v>51</v>
      </c>
      <c r="E14" s="9">
        <v>500000</v>
      </c>
      <c r="F14" s="9">
        <v>45000</v>
      </c>
      <c r="G14" s="9">
        <f>E14+F14</f>
        <v>545000</v>
      </c>
    </row>
    <row r="15" spans="1:7" x14ac:dyDescent="0.25">
      <c r="A15" s="8">
        <v>14</v>
      </c>
      <c r="B15" s="7" t="s">
        <v>41</v>
      </c>
      <c r="C15" s="7" t="s">
        <v>44</v>
      </c>
      <c r="D15" s="7" t="s">
        <v>51</v>
      </c>
      <c r="E15" s="9">
        <v>600000</v>
      </c>
      <c r="F15" s="9">
        <v>50000</v>
      </c>
      <c r="G15" s="9">
        <f>E15+F15</f>
        <v>650000</v>
      </c>
    </row>
    <row r="16" spans="1:7" x14ac:dyDescent="0.25">
      <c r="A16" s="8">
        <v>15</v>
      </c>
      <c r="B16" s="7" t="s">
        <v>42</v>
      </c>
      <c r="C16" s="7" t="s">
        <v>44</v>
      </c>
      <c r="D16" s="7" t="s">
        <v>52</v>
      </c>
      <c r="E16" s="9">
        <v>550000</v>
      </c>
      <c r="F16" s="9">
        <v>35000</v>
      </c>
      <c r="G16" s="9">
        <f>E16+F16</f>
        <v>585000</v>
      </c>
    </row>
  </sheetData>
  <sortState ref="A2:G16">
    <sortCondition ref="A1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teqhub</vt:lpstr>
      <vt:lpstr>Sheet4</vt:lpstr>
      <vt:lpstr>Sheet6</vt:lpstr>
      <vt:lpstr>2015</vt:lpstr>
      <vt:lpstr>2016</vt:lpstr>
      <vt:lpstr>2017</vt:lpstr>
      <vt:lpstr>Consol</vt:lpstr>
      <vt:lpstr>Sheet1</vt:lpstr>
      <vt:lpstr>28th july</vt:lpstr>
      <vt:lpstr>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TEQHUB</dc:creator>
  <cp:lastModifiedBy>TEQHUB</cp:lastModifiedBy>
  <dcterms:created xsi:type="dcterms:W3CDTF">2019-06-22T08:52:08Z</dcterms:created>
  <dcterms:modified xsi:type="dcterms:W3CDTF">2019-07-28T11:02:17Z</dcterms:modified>
</cp:coreProperties>
</file>